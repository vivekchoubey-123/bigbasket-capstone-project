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505a59d0e5fa30c/Desktop/BigBasket_Capstone/bigbasket_capstone_project/bigbasket_capstone/"/>
    </mc:Choice>
  </mc:AlternateContent>
  <xr:revisionPtr revIDLastSave="2" documentId="11_CB9DA0546498A098697ECA3AEB1D127A8EBB3AE1" xr6:coauthVersionLast="47" xr6:coauthVersionMax="47" xr10:uidLastSave="{40721F42-97F4-4F51-8BDA-55ED2DAED2AA}"/>
  <bookViews>
    <workbookView xWindow="-108" yWindow="-108" windowWidth="23256" windowHeight="12456" activeTab="2" xr2:uid="{00000000-000D-0000-FFFF-FFFF00000000}"/>
  </bookViews>
  <sheets>
    <sheet name="Monthly Data" sheetId="1" r:id="rId1"/>
    <sheet name="Category Targets" sheetId="2" r:id="rId2"/>
    <sheet name="Category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  <c r="B7" i="3"/>
  <c r="D6" i="3"/>
  <c r="E6" i="3" s="1"/>
  <c r="B6" i="3"/>
  <c r="B5" i="3"/>
  <c r="B4" i="3"/>
  <c r="D4" i="3" s="1"/>
  <c r="B3" i="3"/>
  <c r="D3" i="3" s="1"/>
  <c r="B2" i="3"/>
  <c r="D5" i="3" l="1"/>
  <c r="D2" i="3"/>
  <c r="D7" i="3"/>
  <c r="E5" i="3"/>
  <c r="F5" i="3" s="1"/>
  <c r="E4" i="3"/>
  <c r="F4" i="3" s="1"/>
  <c r="E7" i="3"/>
  <c r="F7" i="3"/>
  <c r="E3" i="3"/>
  <c r="F3" i="3" s="1"/>
  <c r="F6" i="3"/>
  <c r="E2" i="3" l="1"/>
  <c r="F2" i="3" s="1"/>
</calcChain>
</file>

<file path=xl/sharedStrings.xml><?xml version="1.0" encoding="utf-8"?>
<sst xmlns="http://schemas.openxmlformats.org/spreadsheetml/2006/main" count="104" uniqueCount="23">
  <si>
    <t>category</t>
  </si>
  <si>
    <t>month</t>
  </si>
  <si>
    <t>order_count</t>
  </si>
  <si>
    <t>total_revenue</t>
  </si>
  <si>
    <t>avg_revenue</t>
  </si>
  <si>
    <t>Household Essentials</t>
  </si>
  <si>
    <t>2026-01</t>
  </si>
  <si>
    <t>2026-02</t>
  </si>
  <si>
    <t>2026-03</t>
  </si>
  <si>
    <t>2026-04</t>
  </si>
  <si>
    <t>2026-05</t>
  </si>
  <si>
    <t>2026-06</t>
  </si>
  <si>
    <t>Personal Care</t>
  </si>
  <si>
    <t>Bakery</t>
  </si>
  <si>
    <t>Dairy &amp; Eggs</t>
  </si>
  <si>
    <t>Snacks &amp; Beverages</t>
  </si>
  <si>
    <t>Fruits &amp; Vegetables</t>
  </si>
  <si>
    <t>target_revenue</t>
  </si>
  <si>
    <t>variance</t>
  </si>
  <si>
    <t>percentage_variance</t>
  </si>
  <si>
    <t>tag</t>
  </si>
  <si>
    <t>Matches Part 1 SQL total?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</si>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</sst>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12</v>
      </c>
      <c r="D2">
        <v>2896</v>
      </c>
      <c r="E2">
        <v>241.33333333333329</v>
      </c>
    </row>
    <row r="3" spans="1:5" x14ac:dyDescent="0.3">
      <c r="A3" t="s">
        <v>5</v>
      </c>
      <c r="B3" t="s">
        <v>7</v>
      </c>
      <c r="C3">
        <v>21</v>
      </c>
      <c r="D3">
        <v>5066</v>
      </c>
      <c r="E3">
        <v>241.23809523809521</v>
      </c>
    </row>
    <row r="4" spans="1:5" x14ac:dyDescent="0.3">
      <c r="A4" t="s">
        <v>5</v>
      </c>
      <c r="B4" t="s">
        <v>8</v>
      </c>
      <c r="C4">
        <v>12</v>
      </c>
      <c r="D4">
        <v>2896</v>
      </c>
      <c r="E4">
        <v>241.33333333333329</v>
      </c>
    </row>
    <row r="5" spans="1:5" x14ac:dyDescent="0.3">
      <c r="A5" t="s">
        <v>5</v>
      </c>
      <c r="B5" t="s">
        <v>9</v>
      </c>
      <c r="C5">
        <v>9</v>
      </c>
      <c r="D5">
        <v>2174</v>
      </c>
      <c r="E5">
        <v>241.55555555555549</v>
      </c>
    </row>
    <row r="6" spans="1:5" x14ac:dyDescent="0.3">
      <c r="A6" t="s">
        <v>5</v>
      </c>
      <c r="B6" t="s">
        <v>10</v>
      </c>
      <c r="C6">
        <v>15</v>
      </c>
      <c r="D6">
        <v>3617</v>
      </c>
      <c r="E6">
        <v>241.1333333333333</v>
      </c>
    </row>
    <row r="7" spans="1:5" x14ac:dyDescent="0.3">
      <c r="A7" t="s">
        <v>5</v>
      </c>
      <c r="B7" t="s">
        <v>11</v>
      </c>
      <c r="C7">
        <v>9</v>
      </c>
      <c r="D7">
        <v>2170</v>
      </c>
      <c r="E7">
        <v>241.11111111111109</v>
      </c>
    </row>
    <row r="8" spans="1:5" x14ac:dyDescent="0.3">
      <c r="A8" t="s">
        <v>12</v>
      </c>
      <c r="B8" t="s">
        <v>6</v>
      </c>
      <c r="C8">
        <v>6</v>
      </c>
      <c r="D8">
        <v>1157</v>
      </c>
      <c r="E8">
        <v>192.83333333333329</v>
      </c>
    </row>
    <row r="9" spans="1:5" x14ac:dyDescent="0.3">
      <c r="A9" t="s">
        <v>12</v>
      </c>
      <c r="B9" t="s">
        <v>7</v>
      </c>
      <c r="C9">
        <v>11</v>
      </c>
      <c r="D9">
        <v>2122</v>
      </c>
      <c r="E9">
        <v>192.90909090909091</v>
      </c>
    </row>
    <row r="10" spans="1:5" x14ac:dyDescent="0.3">
      <c r="A10" t="s">
        <v>12</v>
      </c>
      <c r="B10" t="s">
        <v>8</v>
      </c>
      <c r="C10">
        <v>12</v>
      </c>
      <c r="D10">
        <v>2312</v>
      </c>
      <c r="E10">
        <v>192.66666666666671</v>
      </c>
    </row>
    <row r="11" spans="1:5" x14ac:dyDescent="0.3">
      <c r="A11" t="s">
        <v>12</v>
      </c>
      <c r="B11" t="s">
        <v>9</v>
      </c>
      <c r="C11">
        <v>15</v>
      </c>
      <c r="D11">
        <v>2894</v>
      </c>
      <c r="E11">
        <v>192.93333333333331</v>
      </c>
    </row>
    <row r="12" spans="1:5" x14ac:dyDescent="0.3">
      <c r="A12" t="s">
        <v>12</v>
      </c>
      <c r="B12" t="s">
        <v>10</v>
      </c>
      <c r="C12">
        <v>12</v>
      </c>
      <c r="D12">
        <v>2310</v>
      </c>
      <c r="E12">
        <v>192.5</v>
      </c>
    </row>
    <row r="13" spans="1:5" x14ac:dyDescent="0.3">
      <c r="A13" t="s">
        <v>12</v>
      </c>
      <c r="B13" t="s">
        <v>11</v>
      </c>
      <c r="C13">
        <v>15</v>
      </c>
      <c r="D13">
        <v>2890</v>
      </c>
      <c r="E13">
        <v>192.66666666666671</v>
      </c>
    </row>
    <row r="14" spans="1:5" x14ac:dyDescent="0.3">
      <c r="A14" t="s">
        <v>13</v>
      </c>
      <c r="B14" t="s">
        <v>6</v>
      </c>
      <c r="C14">
        <v>10</v>
      </c>
      <c r="D14">
        <v>1880</v>
      </c>
      <c r="E14">
        <v>188</v>
      </c>
    </row>
    <row r="15" spans="1:5" x14ac:dyDescent="0.3">
      <c r="A15" t="s">
        <v>13</v>
      </c>
      <c r="B15" t="s">
        <v>7</v>
      </c>
      <c r="C15">
        <v>14</v>
      </c>
      <c r="D15">
        <v>2630</v>
      </c>
      <c r="E15">
        <v>187.85714285714289</v>
      </c>
    </row>
    <row r="16" spans="1:5" x14ac:dyDescent="0.3">
      <c r="A16" t="s">
        <v>13</v>
      </c>
      <c r="B16" t="s">
        <v>8</v>
      </c>
      <c r="C16">
        <v>9</v>
      </c>
      <c r="D16">
        <v>1692</v>
      </c>
      <c r="E16">
        <v>188</v>
      </c>
    </row>
    <row r="17" spans="1:5" x14ac:dyDescent="0.3">
      <c r="A17" t="s">
        <v>13</v>
      </c>
      <c r="B17" t="s">
        <v>9</v>
      </c>
      <c r="C17">
        <v>13</v>
      </c>
      <c r="D17">
        <v>2444</v>
      </c>
      <c r="E17">
        <v>188</v>
      </c>
    </row>
    <row r="18" spans="1:5" x14ac:dyDescent="0.3">
      <c r="A18" t="s">
        <v>13</v>
      </c>
      <c r="B18" t="s">
        <v>10</v>
      </c>
      <c r="C18">
        <v>12</v>
      </c>
      <c r="D18">
        <v>2255</v>
      </c>
      <c r="E18">
        <v>187.91666666666671</v>
      </c>
    </row>
    <row r="19" spans="1:5" x14ac:dyDescent="0.3">
      <c r="A19" t="s">
        <v>13</v>
      </c>
      <c r="B19" t="s">
        <v>11</v>
      </c>
      <c r="C19">
        <v>9</v>
      </c>
      <c r="D19">
        <v>1690</v>
      </c>
      <c r="E19">
        <v>187.7777777777778</v>
      </c>
    </row>
    <row r="20" spans="1:5" x14ac:dyDescent="0.3">
      <c r="A20" t="s">
        <v>14</v>
      </c>
      <c r="B20" t="s">
        <v>6</v>
      </c>
      <c r="C20">
        <v>8</v>
      </c>
      <c r="D20">
        <v>1408</v>
      </c>
      <c r="E20">
        <v>176</v>
      </c>
    </row>
    <row r="21" spans="1:5" x14ac:dyDescent="0.3">
      <c r="A21" t="s">
        <v>14</v>
      </c>
      <c r="B21" t="s">
        <v>7</v>
      </c>
      <c r="C21">
        <v>11</v>
      </c>
      <c r="D21">
        <v>1937</v>
      </c>
      <c r="E21">
        <v>176.09090909090909</v>
      </c>
    </row>
    <row r="22" spans="1:5" x14ac:dyDescent="0.3">
      <c r="A22" t="s">
        <v>14</v>
      </c>
      <c r="B22" t="s">
        <v>8</v>
      </c>
      <c r="C22">
        <v>15</v>
      </c>
      <c r="D22">
        <v>2642</v>
      </c>
      <c r="E22">
        <v>176.1333333333333</v>
      </c>
    </row>
    <row r="23" spans="1:5" x14ac:dyDescent="0.3">
      <c r="A23" t="s">
        <v>14</v>
      </c>
      <c r="B23" t="s">
        <v>9</v>
      </c>
      <c r="C23">
        <v>12</v>
      </c>
      <c r="D23">
        <v>2114</v>
      </c>
      <c r="E23">
        <v>176.16666666666671</v>
      </c>
    </row>
    <row r="24" spans="1:5" x14ac:dyDescent="0.3">
      <c r="A24" t="s">
        <v>14</v>
      </c>
      <c r="B24" t="s">
        <v>10</v>
      </c>
      <c r="C24">
        <v>14</v>
      </c>
      <c r="D24">
        <v>2466</v>
      </c>
      <c r="E24">
        <v>176.14285714285711</v>
      </c>
    </row>
    <row r="25" spans="1:5" x14ac:dyDescent="0.3">
      <c r="A25" t="s">
        <v>14</v>
      </c>
      <c r="B25" t="s">
        <v>11</v>
      </c>
      <c r="C25">
        <v>9</v>
      </c>
      <c r="D25">
        <v>1585</v>
      </c>
      <c r="E25">
        <v>176.11111111111109</v>
      </c>
    </row>
    <row r="26" spans="1:5" x14ac:dyDescent="0.3">
      <c r="A26" t="s">
        <v>15</v>
      </c>
      <c r="B26" t="s">
        <v>6</v>
      </c>
      <c r="C26">
        <v>9</v>
      </c>
      <c r="D26">
        <v>1255</v>
      </c>
      <c r="E26">
        <v>139.44444444444451</v>
      </c>
    </row>
    <row r="27" spans="1:5" x14ac:dyDescent="0.3">
      <c r="A27" t="s">
        <v>15</v>
      </c>
      <c r="B27" t="s">
        <v>7</v>
      </c>
      <c r="C27">
        <v>12</v>
      </c>
      <c r="D27">
        <v>1678</v>
      </c>
      <c r="E27">
        <v>139.83333333333329</v>
      </c>
    </row>
    <row r="28" spans="1:5" x14ac:dyDescent="0.3">
      <c r="A28" t="s">
        <v>15</v>
      </c>
      <c r="B28" t="s">
        <v>8</v>
      </c>
      <c r="C28">
        <v>13</v>
      </c>
      <c r="D28">
        <v>1816</v>
      </c>
      <c r="E28">
        <v>139.69230769230771</v>
      </c>
    </row>
    <row r="29" spans="1:5" x14ac:dyDescent="0.3">
      <c r="A29" t="s">
        <v>15</v>
      </c>
      <c r="B29" t="s">
        <v>9</v>
      </c>
      <c r="C29">
        <v>13</v>
      </c>
      <c r="D29">
        <v>1816</v>
      </c>
      <c r="E29">
        <v>139.69230769230771</v>
      </c>
    </row>
    <row r="30" spans="1:5" x14ac:dyDescent="0.3">
      <c r="A30" t="s">
        <v>15</v>
      </c>
      <c r="B30" t="s">
        <v>10</v>
      </c>
      <c r="C30">
        <v>10</v>
      </c>
      <c r="D30">
        <v>1397</v>
      </c>
      <c r="E30">
        <v>139.69999999999999</v>
      </c>
    </row>
    <row r="31" spans="1:5" x14ac:dyDescent="0.3">
      <c r="A31" t="s">
        <v>15</v>
      </c>
      <c r="B31" t="s">
        <v>11</v>
      </c>
      <c r="C31">
        <v>12</v>
      </c>
      <c r="D31">
        <v>1676</v>
      </c>
      <c r="E31">
        <v>139.66666666666671</v>
      </c>
    </row>
    <row r="32" spans="1:5" x14ac:dyDescent="0.3">
      <c r="A32" t="s">
        <v>16</v>
      </c>
      <c r="B32" t="s">
        <v>6</v>
      </c>
      <c r="C32">
        <v>14</v>
      </c>
      <c r="D32">
        <v>1613</v>
      </c>
      <c r="E32">
        <v>115.21428571428569</v>
      </c>
    </row>
    <row r="33" spans="1:5" x14ac:dyDescent="0.3">
      <c r="A33" t="s">
        <v>16</v>
      </c>
      <c r="B33" t="s">
        <v>7</v>
      </c>
      <c r="C33">
        <v>16</v>
      </c>
      <c r="D33">
        <v>1842</v>
      </c>
      <c r="E33">
        <v>115.125</v>
      </c>
    </row>
    <row r="34" spans="1:5" x14ac:dyDescent="0.3">
      <c r="A34" t="s">
        <v>16</v>
      </c>
      <c r="B34" t="s">
        <v>8</v>
      </c>
      <c r="C34">
        <v>11</v>
      </c>
      <c r="D34">
        <v>1267</v>
      </c>
      <c r="E34">
        <v>115.1818181818182</v>
      </c>
    </row>
    <row r="35" spans="1:5" x14ac:dyDescent="0.3">
      <c r="A35" t="s">
        <v>16</v>
      </c>
      <c r="B35" t="s">
        <v>9</v>
      </c>
      <c r="C35">
        <v>17</v>
      </c>
      <c r="D35">
        <v>1960</v>
      </c>
      <c r="E35">
        <v>115.2941176470588</v>
      </c>
    </row>
    <row r="36" spans="1:5" x14ac:dyDescent="0.3">
      <c r="A36" t="s">
        <v>16</v>
      </c>
      <c r="B36" t="s">
        <v>10</v>
      </c>
      <c r="C36">
        <v>12</v>
      </c>
      <c r="D36">
        <v>1381</v>
      </c>
      <c r="E36">
        <v>115.0833333333333</v>
      </c>
    </row>
    <row r="37" spans="1:5" x14ac:dyDescent="0.3">
      <c r="A37" t="s">
        <v>16</v>
      </c>
      <c r="B37" t="s">
        <v>11</v>
      </c>
      <c r="C37">
        <v>10</v>
      </c>
      <c r="D37">
        <v>1151</v>
      </c>
      <c r="E37">
        <v>115.1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2" width="22" customWidth="1"/>
  </cols>
  <sheetData>
    <row r="1" spans="1:2" x14ac:dyDescent="0.3">
      <c r="A1" s="1" t="s">
        <v>0</v>
      </c>
      <c r="B1" s="1" t="s">
        <v>17</v>
      </c>
    </row>
    <row r="2" spans="1:2" x14ac:dyDescent="0.3">
      <c r="A2" t="s">
        <v>5</v>
      </c>
      <c r="B2">
        <v>22000</v>
      </c>
    </row>
    <row r="3" spans="1:2" x14ac:dyDescent="0.3">
      <c r="A3" t="s">
        <v>12</v>
      </c>
      <c r="B3">
        <v>17000</v>
      </c>
    </row>
    <row r="4" spans="1:2" x14ac:dyDescent="0.3">
      <c r="A4" t="s">
        <v>13</v>
      </c>
      <c r="B4">
        <v>16000</v>
      </c>
    </row>
    <row r="5" spans="1:2" x14ac:dyDescent="0.3">
      <c r="A5" t="s">
        <v>14</v>
      </c>
      <c r="B5">
        <v>15000</v>
      </c>
    </row>
    <row r="6" spans="1:2" x14ac:dyDescent="0.3">
      <c r="A6" t="s">
        <v>15</v>
      </c>
      <c r="B6">
        <v>12000</v>
      </c>
    </row>
    <row r="7" spans="1:2" x14ac:dyDescent="0.3">
      <c r="A7" t="s">
        <v>16</v>
      </c>
      <c r="B7">
        <v>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7" width="22" customWidth="1"/>
  </cols>
  <sheetData>
    <row r="1" spans="1:7" x14ac:dyDescent="0.3">
      <c r="A1" s="1" t="s">
        <v>0</v>
      </c>
      <c r="B1" s="1" t="s">
        <v>3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 t="s">
        <v>5</v>
      </c>
      <c r="B2">
        <f>SUMIF('Monthly Data'!$A:$A,A2,'Monthly Data'!$D:$D)</f>
        <v>18819</v>
      </c>
      <c r="C2">
        <f>_xlfn.XLOOKUP(A2,'Category Targets'!A2:A7,'Category Targets'!B2:B7,"Not Found")</f>
        <v>22000</v>
      </c>
      <c r="D2">
        <f t="shared" ref="D2:D7" si="0">B2-C2</f>
        <v>-3181</v>
      </c>
      <c r="E2" s="2">
        <f t="shared" ref="E2:E7" si="1">IFERROR(D2/C2,0)</f>
        <v>-0.1445909090909091</v>
      </c>
      <c r="F2" t="str">
        <f t="shared" ref="F2:F7" si="2">IF(D2&gt;=0,"Above Target",IF(E2&gt;=-0.1,"Below Target - Watch","Below Target - Critical"))</f>
        <v>Below Target - Critical</v>
      </c>
      <c r="G2" t="s">
        <v>22</v>
      </c>
    </row>
    <row r="3" spans="1:7" x14ac:dyDescent="0.3">
      <c r="A3" t="s">
        <v>12</v>
      </c>
      <c r="B3">
        <f>SUMIF('Monthly Data'!$A:$A,A3,'Monthly Data'!$D:$D)</f>
        <v>13685</v>
      </c>
      <c r="C3">
        <f>_xlfn.XLOOKUP(A3,'Category Targets'!A3:A8,'Category Targets'!B3:B8,"Not Found")</f>
        <v>17000</v>
      </c>
      <c r="D3">
        <f t="shared" si="0"/>
        <v>-3315</v>
      </c>
      <c r="E3" s="2">
        <f t="shared" si="1"/>
        <v>-0.19500000000000001</v>
      </c>
      <c r="F3" t="str">
        <f t="shared" si="2"/>
        <v>Below Target - Critical</v>
      </c>
      <c r="G3" t="s">
        <v>22</v>
      </c>
    </row>
    <row r="4" spans="1:7" x14ac:dyDescent="0.3">
      <c r="A4" t="s">
        <v>13</v>
      </c>
      <c r="B4">
        <f>SUMIF('Monthly Data'!$A:$A,A4,'Monthly Data'!$D:$D)</f>
        <v>12591</v>
      </c>
      <c r="C4">
        <f>_xlfn.XLOOKUP(A4,'Category Targets'!A4:A9,'Category Targets'!B4:B9,"Not Found")</f>
        <v>16000</v>
      </c>
      <c r="D4">
        <f t="shared" si="0"/>
        <v>-3409</v>
      </c>
      <c r="E4" s="2">
        <f t="shared" si="1"/>
        <v>-0.21306249999999999</v>
      </c>
      <c r="F4" t="str">
        <f t="shared" si="2"/>
        <v>Below Target - Critical</v>
      </c>
      <c r="G4" t="s">
        <v>22</v>
      </c>
    </row>
    <row r="5" spans="1:7" x14ac:dyDescent="0.3">
      <c r="A5" t="s">
        <v>14</v>
      </c>
      <c r="B5">
        <f>SUMIF('Monthly Data'!$A:$A,A5,'Monthly Data'!$D:$D)</f>
        <v>12152</v>
      </c>
      <c r="C5">
        <f>_xlfn.XLOOKUP(A5,'Category Targets'!A5:A10,'Category Targets'!B5:B10,"Not Found")</f>
        <v>15000</v>
      </c>
      <c r="D5">
        <f t="shared" si="0"/>
        <v>-2848</v>
      </c>
      <c r="E5" s="2">
        <f t="shared" si="1"/>
        <v>-0.18986666666666666</v>
      </c>
      <c r="F5" t="str">
        <f t="shared" si="2"/>
        <v>Below Target - Critical</v>
      </c>
      <c r="G5" t="s">
        <v>22</v>
      </c>
    </row>
    <row r="6" spans="1:7" x14ac:dyDescent="0.3">
      <c r="A6" t="s">
        <v>15</v>
      </c>
      <c r="B6">
        <f>SUMIF('Monthly Data'!$A:$A,A6,'Monthly Data'!$D:$D)</f>
        <v>9638</v>
      </c>
      <c r="C6">
        <f>_xlfn.XLOOKUP(A6,'Category Targets'!A6:A11,'Category Targets'!B6:B11,"Not Found")</f>
        <v>12000</v>
      </c>
      <c r="D6">
        <f t="shared" si="0"/>
        <v>-2362</v>
      </c>
      <c r="E6" s="2">
        <f t="shared" si="1"/>
        <v>-0.19683333333333333</v>
      </c>
      <c r="F6" t="str">
        <f t="shared" si="2"/>
        <v>Below Target - Critical</v>
      </c>
      <c r="G6" t="s">
        <v>22</v>
      </c>
    </row>
    <row r="7" spans="1:7" x14ac:dyDescent="0.3">
      <c r="A7" t="s">
        <v>16</v>
      </c>
      <c r="B7">
        <f>SUMIF('Monthly Data'!$A:$A,A7,'Monthly Data'!$D:$D)</f>
        <v>9214</v>
      </c>
      <c r="C7">
        <f>_xlfn.XLOOKUP(A7,'Category Targets'!A7:A12,'Category Targets'!B7:B12,"Not Found")</f>
        <v>11000</v>
      </c>
      <c r="D7">
        <f t="shared" si="0"/>
        <v>-1786</v>
      </c>
      <c r="E7" s="2">
        <f t="shared" si="1"/>
        <v>-0.16236363636363638</v>
      </c>
      <c r="F7" t="str">
        <f t="shared" si="2"/>
        <v>Below Target - Critical</v>
      </c>
      <c r="G7" t="s">
        <v>22</v>
      </c>
    </row>
  </sheetData>
  <conditionalFormatting sqref="F2:F7">
    <cfRule type="expression" dxfId="2" priority="1">
      <formula>F2="Above Target"</formula>
    </cfRule>
    <cfRule type="expression" dxfId="1" priority="2">
      <formula>F2="Below Target - Watch"</formula>
    </cfRule>
    <cfRule type="expression" dxfId="0" priority="3">
      <formula>F2="Below Target - Critical"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Data</vt:lpstr>
      <vt:lpstr>Category Targets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Choubey</cp:lastModifiedBy>
  <dcterms:created xsi:type="dcterms:W3CDTF">2026-09-15T09:42:55Z</dcterms:created>
  <dcterms:modified xsi:type="dcterms:W3CDTF">2026-09-17T10:42:09Z</dcterms:modified>
</cp:coreProperties>
</file>